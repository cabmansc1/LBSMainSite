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tup" sheetId="1" state="visible" r:id="rId1"/>
    <sheet name="Rate Sheet" sheetId="2" state="visible" r:id="rId2"/>
    <sheet name="Design Fees" sheetId="3" state="visible" r:id="rId3"/>
    <sheet name="Quote Builder" sheetId="4" state="visible" r:id="rId4"/>
  </sheets>
  <definedNames/>
  <calcPr calcId="124519" fullCalcOnLoad="1"/>
</workbook>
</file>

<file path=xl/styles.xml><?xml version="1.0" encoding="utf-8"?>
<styleSheet xmlns="http://schemas.openxmlformats.org/spreadsheetml/2006/main">
  <numFmts count="3">
    <numFmt numFmtId="164" formatCode="0.0%;(0.0%);-"/>
    <numFmt numFmtId="165" formatCode="$#,##0.00;($#,##0.00);-"/>
    <numFmt numFmtId="166" formatCode="$#,##0.000;($#,##0.000);-"/>
  </numFmts>
  <fonts count="8">
    <font>
      <name val="Calibri"/>
      <family val="2"/>
      <color theme="1"/>
      <sz val="11"/>
      <scheme val="minor"/>
    </font>
    <font>
      <name val="Arial"/>
      <b val="1"/>
      <sz val="14"/>
    </font>
    <font>
      <name val="Arial"/>
      <i val="1"/>
      <color rgb="00595959"/>
      <sz val="10"/>
    </font>
    <font>
      <name val="Arial"/>
      <b val="1"/>
      <sz val="10"/>
    </font>
    <font>
      <name val="Arial"/>
      <sz val="10"/>
    </font>
    <font>
      <name val="Arial"/>
      <color rgb="000000FF"/>
      <sz val="10"/>
    </font>
    <font>
      <name val="Arial"/>
      <b val="1"/>
      <color rgb="00FFFFFF"/>
      <sz val="9"/>
    </font>
    <font>
      <name val="Arial"/>
      <b val="1"/>
      <sz val="12"/>
    </font>
  </fonts>
  <fills count="5">
    <fill>
      <patternFill/>
    </fill>
    <fill>
      <patternFill patternType="gray125"/>
    </fill>
    <fill>
      <patternFill patternType="solid">
        <fgColor rgb="00FFFF00"/>
      </patternFill>
    </fill>
    <fill>
      <patternFill patternType="solid">
        <fgColor rgb="000A1622"/>
      </patternFill>
    </fill>
    <fill>
      <patternFill patternType="solid">
        <fgColor rgb="00F2F5F8"/>
      </patternFill>
    </fill>
  </fills>
  <borders count="2">
    <border>
      <left/>
      <right/>
      <top/>
      <bottom/>
      <diagonal/>
    </border>
    <border>
      <left style="thin">
        <color rgb="00D5DCE4"/>
      </left>
      <right style="thin">
        <color rgb="00D5DCE4"/>
      </right>
      <top style="thin">
        <color rgb="00D5DCE4"/>
      </top>
      <bottom style="thin">
        <color rgb="00D5DCE4"/>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164" fontId="5" fillId="2" borderId="1" pivotButton="0" quotePrefix="0" xfId="0"/>
    <xf numFmtId="165" fontId="5" fillId="2" borderId="1" pivotButton="0" quotePrefix="0" xfId="0"/>
    <xf numFmtId="1" fontId="5" fillId="2" borderId="1" pivotButton="0" quotePrefix="0" xfId="0"/>
    <xf numFmtId="0" fontId="6" fillId="3" borderId="1" applyAlignment="1" pivotButton="0" quotePrefix="0" xfId="0">
      <alignment horizontal="center" vertical="center" wrapText="1"/>
    </xf>
    <xf numFmtId="0" fontId="4" fillId="0" borderId="1" pivotButton="0" quotePrefix="0" xfId="0"/>
    <xf numFmtId="3" fontId="4" fillId="0" borderId="1" pivotButton="0" quotePrefix="0" xfId="0"/>
    <xf numFmtId="166" fontId="4" fillId="0" borderId="1" pivotButton="0" quotePrefix="0" xfId="0"/>
    <xf numFmtId="165" fontId="4" fillId="0" borderId="1" pivotButton="0" quotePrefix="0" xfId="0"/>
    <xf numFmtId="165" fontId="3" fillId="0" borderId="1" pivotButton="0" quotePrefix="0" xfId="0"/>
    <xf numFmtId="164" fontId="4" fillId="0" borderId="1" pivotButton="0" quotePrefix="0" xfId="0"/>
    <xf numFmtId="0" fontId="4" fillId="4" borderId="1" pivotButton="0" quotePrefix="0" xfId="0"/>
    <xf numFmtId="3" fontId="4" fillId="4" borderId="1" pivotButton="0" quotePrefix="0" xfId="0"/>
    <xf numFmtId="166" fontId="4" fillId="4" borderId="1" pivotButton="0" quotePrefix="0" xfId="0"/>
    <xf numFmtId="165" fontId="4" fillId="4" borderId="1" pivotButton="0" quotePrefix="0" xfId="0"/>
    <xf numFmtId="165" fontId="3" fillId="4" borderId="1" pivotButton="0" quotePrefix="0" xfId="0"/>
    <xf numFmtId="164" fontId="4" fillId="4" borderId="1" pivotButton="0" quotePrefix="0" xfId="0"/>
    <xf numFmtId="0" fontId="6" fillId="3" borderId="1" applyAlignment="1" pivotButton="0" quotePrefix="0" xfId="0">
      <alignment horizontal="center" wrapText="1"/>
    </xf>
    <xf numFmtId="0" fontId="5" fillId="2" borderId="1" pivotButton="0" quotePrefix="0" xfId="0"/>
    <xf numFmtId="3" fontId="5" fillId="2" borderId="1" pivotButton="0" quotePrefix="0" xfId="0"/>
    <xf numFmtId="165"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Rate sheet</author>
  </authors>
  <commentList>
    <comment ref="B12" authorId="0" shapeId="0">
      <text>
        <t>The share of your price that is margin, not markup on cost. 40% margin on a $60 cost means a $100 price.</t>
      </text>
    </comment>
    <comment ref="B13" authorId="0" shapeId="0">
      <text>
        <t>Keeps quoted prices tidy. Set to 1 for no rounding.</t>
      </text>
    </comment>
    <comment ref="B14" authorId="0" shapeId="0">
      <text>
        <t>Below this, roll the job into their next mailing invoice instead of running it separately.</t>
      </text>
    </comment>
    <comment ref="B15" authorId="0" shapeId="0">
      <text>
        <t>Applied when the customer needs it faster than standard turnaround. Reference figure only.</t>
      </text>
    </comment>
    <comment ref="B16" authorId="0" shapeId="0">
      <text>
        <t>Used on the Design Fees tab for anything billed by time.</t>
      </text>
    </comment>
    <comment ref="B17" authorId="0" shapeId="0">
      <text>
        <t>Stated in the proof terms. Extra rounds are chargeable.</t>
      </text>
    </comment>
  </commentList>
</comments>
</file>

<file path=xl/comments/comment2.xml><?xml version="1.0" encoding="utf-8"?>
<comments xmlns="http://schemas.openxmlformats.org/spreadsheetml/2006/main">
  <authors>
    <author>Rate sheet</author>
  </authors>
  <commentList>
    <comment ref="D5" authorId="0" shapeId="0">
      <text>
        <t>EXAMPLE ONLY — replace with your own wholesale cost for 250 business cards.
This is what you pay the printer for the whole order, not per card.
Delete this number and the row goes blank until you enter yours.</t>
      </text>
    </comment>
  </commentList>
</comments>
</file>

<file path=xl/comments/comment3.xml><?xml version="1.0" encoding="utf-8"?>
<comments xmlns="http://schemas.openxmlformats.org/spreadsheetml/2006/main">
  <authors>
    <author>Rate sheet</author>
  </authors>
  <commentList>
    <comment ref="B9" authorId="0" shapeId="0">
      <text>
        <t>Type Yes or 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30" customWidth="1" min="1" max="1"/>
    <col width="62" customWidth="1" min="2" max="2"/>
  </cols>
  <sheetData>
    <row r="1">
      <c r="A1" s="1" t="inlineStr">
        <is>
          <t>Print Rate Sheet — Setup</t>
        </is>
      </c>
    </row>
    <row r="2">
      <c r="A2" s="2" t="inlineStr">
        <is>
          <t>Change these and every price on the Rate Sheet recalculates.</t>
        </is>
      </c>
    </row>
    <row r="4">
      <c r="A4" s="3" t="inlineStr">
        <is>
          <t>HOW TO USE</t>
        </is>
      </c>
    </row>
    <row r="5">
      <c r="A5" s="4" t="inlineStr">
        <is>
          <t>Yellow cells with blue text</t>
        </is>
      </c>
      <c r="B5" s="4" t="inlineStr">
        <is>
          <t>You fill these in. Nothing else should be edited.</t>
        </is>
      </c>
    </row>
    <row r="6">
      <c r="A6" s="4" t="inlineStr">
        <is>
          <t>Black text</t>
        </is>
      </c>
      <c r="B6" s="4" t="inlineStr">
        <is>
          <t>Calculated. Leave alone.</t>
        </is>
      </c>
    </row>
    <row r="7">
      <c r="A7" s="4" t="inlineStr">
        <is>
          <t>Rate Sheet tab</t>
        </is>
      </c>
      <c r="B7" s="4" t="inlineStr">
        <is>
          <t>Enter your wholesale cost per order. Prices appear automatically.</t>
        </is>
      </c>
    </row>
    <row r="8">
      <c r="A8" s="4" t="inlineStr">
        <is>
          <t>Blank wholesale cost</t>
        </is>
      </c>
      <c r="B8" s="4" t="inlineStr">
        <is>
          <t>Row stays blank rather than showing a wrong number.</t>
        </is>
      </c>
    </row>
    <row r="11">
      <c r="A11" s="3" t="inlineStr">
        <is>
          <t>YOUR NUMBERS</t>
        </is>
      </c>
    </row>
    <row r="12">
      <c r="A12" s="4" t="inlineStr">
        <is>
          <t>Target gross margin</t>
        </is>
      </c>
      <c r="B12" s="5" t="n">
        <v>0.4</v>
      </c>
    </row>
    <row r="13">
      <c r="A13" s="4" t="inlineStr">
        <is>
          <t>Round prices up to nearest</t>
        </is>
      </c>
      <c r="B13" s="6" t="n">
        <v>5</v>
      </c>
    </row>
    <row r="14">
      <c r="A14" s="4" t="inlineStr">
        <is>
          <t>Minimum order value</t>
        </is>
      </c>
      <c r="B14" s="6" t="n">
        <v>75</v>
      </c>
    </row>
    <row r="15">
      <c r="A15" s="4" t="inlineStr">
        <is>
          <t>Rush uplift</t>
        </is>
      </c>
      <c r="B15" s="5" t="n">
        <v>0.25</v>
      </c>
    </row>
    <row r="16">
      <c r="A16" s="4" t="inlineStr">
        <is>
          <t>Design hourly rate</t>
        </is>
      </c>
      <c r="B16" s="6" t="n">
        <v>85</v>
      </c>
    </row>
    <row r="17">
      <c r="A17" s="4" t="inlineStr">
        <is>
          <t>Revision rounds included</t>
        </is>
      </c>
      <c r="B17" s="7" t="n">
        <v>1</v>
      </c>
    </row>
    <row r="20">
      <c r="A20" s="2" t="inlineStr">
        <is>
          <t>Starting values are placeholders chosen to be plausible, not advice — replace them with your own once you have run a few jobs.</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29"/>
  <sheetViews>
    <sheetView showGridLines="0" workbookViewId="0">
      <pane ySplit="4" topLeftCell="A5" activePane="bottomLeft" state="frozen"/>
      <selection pane="bottomLeft" activeCell="A1" sqref="A1"/>
    </sheetView>
  </sheetViews>
  <sheetFormatPr baseColWidth="8" defaultRowHeight="15"/>
  <cols>
    <col width="24" customWidth="1" min="1" max="1"/>
    <col width="26" customWidth="1" min="2" max="2"/>
    <col width="8" customWidth="1" min="3" max="3"/>
    <col width="15" customWidth="1" min="4" max="4"/>
    <col width="12" customWidth="1" min="5" max="5"/>
    <col width="14" customWidth="1" min="6" max="6"/>
    <col width="13" customWidth="1" min="7" max="7"/>
    <col width="11" customWidth="1" min="8" max="8"/>
    <col width="10" customWidth="1" min="9" max="9"/>
    <col width="12" customWidth="1" min="10" max="10"/>
    <col width="15" customWidth="1" min="11" max="11"/>
    <col hidden="1" width="22" customWidth="1" min="12" max="12"/>
  </cols>
  <sheetData>
    <row r="1">
      <c r="A1" s="1" t="inlineStr">
        <is>
          <t>Print Rate Sheet</t>
        </is>
      </c>
    </row>
    <row r="2">
      <c r="A2" s="2" t="inlineStr">
        <is>
          <t>Fill in column D only. Everything to the right calculates from Setup.</t>
        </is>
      </c>
    </row>
    <row r="4">
      <c r="A4" s="8" t="inlineStr">
        <is>
          <t>Product</t>
        </is>
      </c>
      <c r="B4" s="8" t="inlineStr">
        <is>
          <t>Spec</t>
        </is>
      </c>
      <c r="C4" s="8" t="inlineStr">
        <is>
          <t>Qty</t>
        </is>
      </c>
      <c r="D4" s="8" t="inlineStr">
        <is>
          <t>Wholesale cost</t>
        </is>
      </c>
      <c r="E4" s="8" t="inlineStr">
        <is>
          <t>Cost / unit</t>
        </is>
      </c>
      <c r="F4" s="8" t="inlineStr">
        <is>
          <t>Price at target</t>
        </is>
      </c>
      <c r="G4" s="8" t="inlineStr">
        <is>
          <t>YOUR PRICE</t>
        </is>
      </c>
      <c r="H4" s="8" t="inlineStr">
        <is>
          <t>Margin $</t>
        </is>
      </c>
      <c r="I4" s="8" t="inlineStr">
        <is>
          <t>Margin %</t>
        </is>
      </c>
      <c r="J4" s="8" t="inlineStr">
        <is>
          <t>Price / unit</t>
        </is>
      </c>
      <c r="K4" s="8" t="inlineStr">
        <is>
          <t>Above minimum?</t>
        </is>
      </c>
      <c r="L4" s="8" t="inlineStr">
        <is>
          <t>Key</t>
        </is>
      </c>
    </row>
    <row r="5">
      <c r="A5" s="9" t="inlineStr">
        <is>
          <t>Business cards</t>
        </is>
      </c>
      <c r="B5" s="9" t="inlineStr">
        <is>
          <t>3.5" x 2", 16pt matte</t>
        </is>
      </c>
      <c r="C5" s="10" t="n">
        <v>250</v>
      </c>
      <c r="D5" s="6" t="n">
        <v>26</v>
      </c>
      <c r="E5" s="11">
        <f>IF($D5="","",$D5/$C5)</f>
        <v/>
      </c>
      <c r="F5" s="12">
        <f>IF($D5="","",IFERROR($D5/(1-Setup!$B$12),""))</f>
        <v/>
      </c>
      <c r="G5" s="13">
        <f>IF($F5="","",CEILING($F5,Setup!$B$13))</f>
        <v/>
      </c>
      <c r="H5" s="12">
        <f>IF($G5="","",$G5-$D5)</f>
        <v/>
      </c>
      <c r="I5" s="14">
        <f>IF($G5="","",IFERROR($H5/$G5,""))</f>
        <v/>
      </c>
      <c r="J5" s="11">
        <f>IF($G5="","",$G5/$C5)</f>
        <v/>
      </c>
      <c r="K5" s="9">
        <f>IF($G5="","",IF($G5&gt;=Setup!$B$14,"Yes","BELOW MIN"))</f>
        <v/>
      </c>
      <c r="L5" s="9">
        <f>$A5&amp;"|"&amp;$C5</f>
        <v/>
      </c>
    </row>
    <row r="6">
      <c r="A6" s="15" t="inlineStr">
        <is>
          <t>Business cards</t>
        </is>
      </c>
      <c r="B6" s="15" t="inlineStr">
        <is>
          <t>3.5" x 2", 16pt matte</t>
        </is>
      </c>
      <c r="C6" s="16" t="n">
        <v>500</v>
      </c>
      <c r="D6" s="6" t="n"/>
      <c r="E6" s="17">
        <f>IF($D6="","",$D6/$C6)</f>
        <v/>
      </c>
      <c r="F6" s="18">
        <f>IF($D6="","",IFERROR($D6/(1-Setup!$B$12),""))</f>
        <v/>
      </c>
      <c r="G6" s="19">
        <f>IF($F6="","",CEILING($F6,Setup!$B$13))</f>
        <v/>
      </c>
      <c r="H6" s="18">
        <f>IF($G6="","",$G6-$D6)</f>
        <v/>
      </c>
      <c r="I6" s="20">
        <f>IF($G6="","",IFERROR($H6/$G6,""))</f>
        <v/>
      </c>
      <c r="J6" s="17">
        <f>IF($G6="","",$G6/$C6)</f>
        <v/>
      </c>
      <c r="K6" s="15">
        <f>IF($G6="","",IF($G6&gt;=Setup!$B$14,"Yes","BELOW MIN"))</f>
        <v/>
      </c>
      <c r="L6" s="15">
        <f>$A6&amp;"|"&amp;$C6</f>
        <v/>
      </c>
    </row>
    <row r="7">
      <c r="A7" s="9" t="inlineStr">
        <is>
          <t>Business cards</t>
        </is>
      </c>
      <c r="B7" s="9" t="inlineStr">
        <is>
          <t>3.5" x 2", 16pt matte</t>
        </is>
      </c>
      <c r="C7" s="10" t="n">
        <v>1000</v>
      </c>
      <c r="D7" s="6" t="n"/>
      <c r="E7" s="11">
        <f>IF($D7="","",$D7/$C7)</f>
        <v/>
      </c>
      <c r="F7" s="12">
        <f>IF($D7="","",IFERROR($D7/(1-Setup!$B$12),""))</f>
        <v/>
      </c>
      <c r="G7" s="13">
        <f>IF($F7="","",CEILING($F7,Setup!$B$13))</f>
        <v/>
      </c>
      <c r="H7" s="12">
        <f>IF($G7="","",$G7-$D7)</f>
        <v/>
      </c>
      <c r="I7" s="14">
        <f>IF($G7="","",IFERROR($H7/$G7,""))</f>
        <v/>
      </c>
      <c r="J7" s="11">
        <f>IF($G7="","",$G7/$C7)</f>
        <v/>
      </c>
      <c r="K7" s="9">
        <f>IF($G7="","",IF($G7&gt;=Setup!$B$14,"Yes","BELOW MIN"))</f>
        <v/>
      </c>
      <c r="L7" s="9">
        <f>$A7&amp;"|"&amp;$C7</f>
        <v/>
      </c>
    </row>
    <row r="8">
      <c r="A8" s="15" t="inlineStr">
        <is>
          <t>Business cards</t>
        </is>
      </c>
      <c r="B8" s="15" t="inlineStr">
        <is>
          <t>3.5" x 2", 16pt matte</t>
        </is>
      </c>
      <c r="C8" s="16" t="n">
        <v>2500</v>
      </c>
      <c r="D8" s="6" t="n"/>
      <c r="E8" s="17">
        <f>IF($D8="","",$D8/$C8)</f>
        <v/>
      </c>
      <c r="F8" s="18">
        <f>IF($D8="","",IFERROR($D8/(1-Setup!$B$12),""))</f>
        <v/>
      </c>
      <c r="G8" s="19">
        <f>IF($F8="","",CEILING($F8,Setup!$B$13))</f>
        <v/>
      </c>
      <c r="H8" s="18">
        <f>IF($G8="","",$G8-$D8)</f>
        <v/>
      </c>
      <c r="I8" s="20">
        <f>IF($G8="","",IFERROR($H8/$G8,""))</f>
        <v/>
      </c>
      <c r="J8" s="17">
        <f>IF($G8="","",$G8/$C8)</f>
        <v/>
      </c>
      <c r="K8" s="15">
        <f>IF($G8="","",IF($G8&gt;=Setup!$B$14,"Yes","BELOW MIN"))</f>
        <v/>
      </c>
      <c r="L8" s="15">
        <f>$A8&amp;"|"&amp;$C8</f>
        <v/>
      </c>
    </row>
    <row r="9">
      <c r="A9" s="9" t="inlineStr">
        <is>
          <t>Flyers</t>
        </is>
      </c>
      <c r="B9" s="9" t="inlineStr">
        <is>
          <t>8.5" x 11", 100lb gloss</t>
        </is>
      </c>
      <c r="C9" s="10" t="n">
        <v>250</v>
      </c>
      <c r="D9" s="6" t="n"/>
      <c r="E9" s="11">
        <f>IF($D9="","",$D9/$C9)</f>
        <v/>
      </c>
      <c r="F9" s="12">
        <f>IF($D9="","",IFERROR($D9/(1-Setup!$B$12),""))</f>
        <v/>
      </c>
      <c r="G9" s="13">
        <f>IF($F9="","",CEILING($F9,Setup!$B$13))</f>
        <v/>
      </c>
      <c r="H9" s="12">
        <f>IF($G9="","",$G9-$D9)</f>
        <v/>
      </c>
      <c r="I9" s="14">
        <f>IF($G9="","",IFERROR($H9/$G9,""))</f>
        <v/>
      </c>
      <c r="J9" s="11">
        <f>IF($G9="","",$G9/$C9)</f>
        <v/>
      </c>
      <c r="K9" s="9">
        <f>IF($G9="","",IF($G9&gt;=Setup!$B$14,"Yes","BELOW MIN"))</f>
        <v/>
      </c>
      <c r="L9" s="9">
        <f>$A9&amp;"|"&amp;$C9</f>
        <v/>
      </c>
    </row>
    <row r="10">
      <c r="A10" s="15" t="inlineStr">
        <is>
          <t>Flyers</t>
        </is>
      </c>
      <c r="B10" s="15" t="inlineStr">
        <is>
          <t>8.5" x 11", 100lb gloss</t>
        </is>
      </c>
      <c r="C10" s="16" t="n">
        <v>500</v>
      </c>
      <c r="D10" s="6" t="n"/>
      <c r="E10" s="17">
        <f>IF($D10="","",$D10/$C10)</f>
        <v/>
      </c>
      <c r="F10" s="18">
        <f>IF($D10="","",IFERROR($D10/(1-Setup!$B$12),""))</f>
        <v/>
      </c>
      <c r="G10" s="19">
        <f>IF($F10="","",CEILING($F10,Setup!$B$13))</f>
        <v/>
      </c>
      <c r="H10" s="18">
        <f>IF($G10="","",$G10-$D10)</f>
        <v/>
      </c>
      <c r="I10" s="20">
        <f>IF($G10="","",IFERROR($H10/$G10,""))</f>
        <v/>
      </c>
      <c r="J10" s="17">
        <f>IF($G10="","",$G10/$C10)</f>
        <v/>
      </c>
      <c r="K10" s="15">
        <f>IF($G10="","",IF($G10&gt;=Setup!$B$14,"Yes","BELOW MIN"))</f>
        <v/>
      </c>
      <c r="L10" s="15">
        <f>$A10&amp;"|"&amp;$C10</f>
        <v/>
      </c>
    </row>
    <row r="11">
      <c r="A11" s="9" t="inlineStr">
        <is>
          <t>Flyers</t>
        </is>
      </c>
      <c r="B11" s="9" t="inlineStr">
        <is>
          <t>8.5" x 11", 100lb gloss</t>
        </is>
      </c>
      <c r="C11" s="10" t="n">
        <v>1000</v>
      </c>
      <c r="D11" s="6" t="n"/>
      <c r="E11" s="11">
        <f>IF($D11="","",$D11/$C11)</f>
        <v/>
      </c>
      <c r="F11" s="12">
        <f>IF($D11="","",IFERROR($D11/(1-Setup!$B$12),""))</f>
        <v/>
      </c>
      <c r="G11" s="13">
        <f>IF($F11="","",CEILING($F11,Setup!$B$13))</f>
        <v/>
      </c>
      <c r="H11" s="12">
        <f>IF($G11="","",$G11-$D11)</f>
        <v/>
      </c>
      <c r="I11" s="14">
        <f>IF($G11="","",IFERROR($H11/$G11,""))</f>
        <v/>
      </c>
      <c r="J11" s="11">
        <f>IF($G11="","",$G11/$C11)</f>
        <v/>
      </c>
      <c r="K11" s="9">
        <f>IF($G11="","",IF($G11&gt;=Setup!$B$14,"Yes","BELOW MIN"))</f>
        <v/>
      </c>
      <c r="L11" s="9">
        <f>$A11&amp;"|"&amp;$C11</f>
        <v/>
      </c>
    </row>
    <row r="12">
      <c r="A12" s="15" t="inlineStr">
        <is>
          <t>Flyers</t>
        </is>
      </c>
      <c r="B12" s="15" t="inlineStr">
        <is>
          <t>8.5" x 11", 100lb gloss</t>
        </is>
      </c>
      <c r="C12" s="16" t="n">
        <v>2500</v>
      </c>
      <c r="D12" s="6" t="n"/>
      <c r="E12" s="17">
        <f>IF($D12="","",$D12/$C12)</f>
        <v/>
      </c>
      <c r="F12" s="18">
        <f>IF($D12="","",IFERROR($D12/(1-Setup!$B$12),""))</f>
        <v/>
      </c>
      <c r="G12" s="19">
        <f>IF($F12="","",CEILING($F12,Setup!$B$13))</f>
        <v/>
      </c>
      <c r="H12" s="18">
        <f>IF($G12="","",$G12-$D12)</f>
        <v/>
      </c>
      <c r="I12" s="20">
        <f>IF($G12="","",IFERROR($H12/$G12,""))</f>
        <v/>
      </c>
      <c r="J12" s="17">
        <f>IF($G12="","",$G12/$C12)</f>
        <v/>
      </c>
      <c r="K12" s="15">
        <f>IF($G12="","",IF($G12&gt;=Setup!$B$14,"Yes","BELOW MIN"))</f>
        <v/>
      </c>
      <c r="L12" s="15">
        <f>$A12&amp;"|"&amp;$C12</f>
        <v/>
      </c>
    </row>
    <row r="13">
      <c r="A13" s="9" t="inlineStr">
        <is>
          <t>Postcards (unmailed)</t>
        </is>
      </c>
      <c r="B13" s="9" t="inlineStr">
        <is>
          <t>4" x 6", 16pt</t>
        </is>
      </c>
      <c r="C13" s="10" t="n">
        <v>250</v>
      </c>
      <c r="D13" s="6" t="n"/>
      <c r="E13" s="11">
        <f>IF($D13="","",$D13/$C13)</f>
        <v/>
      </c>
      <c r="F13" s="12">
        <f>IF($D13="","",IFERROR($D13/(1-Setup!$B$12),""))</f>
        <v/>
      </c>
      <c r="G13" s="13">
        <f>IF($F13="","",CEILING($F13,Setup!$B$13))</f>
        <v/>
      </c>
      <c r="H13" s="12">
        <f>IF($G13="","",$G13-$D13)</f>
        <v/>
      </c>
      <c r="I13" s="14">
        <f>IF($G13="","",IFERROR($H13/$G13,""))</f>
        <v/>
      </c>
      <c r="J13" s="11">
        <f>IF($G13="","",$G13/$C13)</f>
        <v/>
      </c>
      <c r="K13" s="9">
        <f>IF($G13="","",IF($G13&gt;=Setup!$B$14,"Yes","BELOW MIN"))</f>
        <v/>
      </c>
      <c r="L13" s="9">
        <f>$A13&amp;"|"&amp;$C13</f>
        <v/>
      </c>
    </row>
    <row r="14">
      <c r="A14" s="15" t="inlineStr">
        <is>
          <t>Postcards (unmailed)</t>
        </is>
      </c>
      <c r="B14" s="15" t="inlineStr">
        <is>
          <t>4" x 6", 16pt</t>
        </is>
      </c>
      <c r="C14" s="16" t="n">
        <v>500</v>
      </c>
      <c r="D14" s="6" t="n"/>
      <c r="E14" s="17">
        <f>IF($D14="","",$D14/$C14)</f>
        <v/>
      </c>
      <c r="F14" s="18">
        <f>IF($D14="","",IFERROR($D14/(1-Setup!$B$12),""))</f>
        <v/>
      </c>
      <c r="G14" s="19">
        <f>IF($F14="","",CEILING($F14,Setup!$B$13))</f>
        <v/>
      </c>
      <c r="H14" s="18">
        <f>IF($G14="","",$G14-$D14)</f>
        <v/>
      </c>
      <c r="I14" s="20">
        <f>IF($G14="","",IFERROR($H14/$G14,""))</f>
        <v/>
      </c>
      <c r="J14" s="17">
        <f>IF($G14="","",$G14/$C14)</f>
        <v/>
      </c>
      <c r="K14" s="15">
        <f>IF($G14="","",IF($G14&gt;=Setup!$B$14,"Yes","BELOW MIN"))</f>
        <v/>
      </c>
      <c r="L14" s="15">
        <f>$A14&amp;"|"&amp;$C14</f>
        <v/>
      </c>
    </row>
    <row r="15">
      <c r="A15" s="9" t="inlineStr">
        <is>
          <t>Postcards (unmailed)</t>
        </is>
      </c>
      <c r="B15" s="9" t="inlineStr">
        <is>
          <t>4" x 6", 16pt</t>
        </is>
      </c>
      <c r="C15" s="10" t="n">
        <v>1000</v>
      </c>
      <c r="D15" s="6" t="n"/>
      <c r="E15" s="11">
        <f>IF($D15="","",$D15/$C15)</f>
        <v/>
      </c>
      <c r="F15" s="12">
        <f>IF($D15="","",IFERROR($D15/(1-Setup!$B$12),""))</f>
        <v/>
      </c>
      <c r="G15" s="13">
        <f>IF($F15="","",CEILING($F15,Setup!$B$13))</f>
        <v/>
      </c>
      <c r="H15" s="12">
        <f>IF($G15="","",$G15-$D15)</f>
        <v/>
      </c>
      <c r="I15" s="14">
        <f>IF($G15="","",IFERROR($H15/$G15,""))</f>
        <v/>
      </c>
      <c r="J15" s="11">
        <f>IF($G15="","",$G15/$C15)</f>
        <v/>
      </c>
      <c r="K15" s="9">
        <f>IF($G15="","",IF($G15&gt;=Setup!$B$14,"Yes","BELOW MIN"))</f>
        <v/>
      </c>
      <c r="L15" s="9">
        <f>$A15&amp;"|"&amp;$C15</f>
        <v/>
      </c>
    </row>
    <row r="16">
      <c r="A16" s="15" t="inlineStr">
        <is>
          <t>Postcards (unmailed)</t>
        </is>
      </c>
      <c r="B16" s="15" t="inlineStr">
        <is>
          <t>4" x 6", 16pt</t>
        </is>
      </c>
      <c r="C16" s="16" t="n">
        <v>2500</v>
      </c>
      <c r="D16" s="6" t="n"/>
      <c r="E16" s="17">
        <f>IF($D16="","",$D16/$C16)</f>
        <v/>
      </c>
      <c r="F16" s="18">
        <f>IF($D16="","",IFERROR($D16/(1-Setup!$B$12),""))</f>
        <v/>
      </c>
      <c r="G16" s="19">
        <f>IF($F16="","",CEILING($F16,Setup!$B$13))</f>
        <v/>
      </c>
      <c r="H16" s="18">
        <f>IF($G16="","",$G16-$D16)</f>
        <v/>
      </c>
      <c r="I16" s="20">
        <f>IF($G16="","",IFERROR($H16/$G16,""))</f>
        <v/>
      </c>
      <c r="J16" s="17">
        <f>IF($G16="","",$G16/$C16)</f>
        <v/>
      </c>
      <c r="K16" s="15">
        <f>IF($G16="","",IF($G16&gt;=Setup!$B$14,"Yes","BELOW MIN"))</f>
        <v/>
      </c>
      <c r="L16" s="15">
        <f>$A16&amp;"|"&amp;$C16</f>
        <v/>
      </c>
    </row>
    <row r="17">
      <c r="A17" s="9" t="inlineStr">
        <is>
          <t>Postcards (unmailed)</t>
        </is>
      </c>
      <c r="B17" s="9" t="inlineStr">
        <is>
          <t>5" x 7", 16pt</t>
        </is>
      </c>
      <c r="C17" s="10" t="n">
        <v>500</v>
      </c>
      <c r="D17" s="6" t="n"/>
      <c r="E17" s="11">
        <f>IF($D17="","",$D17/$C17)</f>
        <v/>
      </c>
      <c r="F17" s="12">
        <f>IF($D17="","",IFERROR($D17/(1-Setup!$B$12),""))</f>
        <v/>
      </c>
      <c r="G17" s="13">
        <f>IF($F17="","",CEILING($F17,Setup!$B$13))</f>
        <v/>
      </c>
      <c r="H17" s="12">
        <f>IF($G17="","",$G17-$D17)</f>
        <v/>
      </c>
      <c r="I17" s="14">
        <f>IF($G17="","",IFERROR($H17/$G17,""))</f>
        <v/>
      </c>
      <c r="J17" s="11">
        <f>IF($G17="","",$G17/$C17)</f>
        <v/>
      </c>
      <c r="K17" s="9">
        <f>IF($G17="","",IF($G17&gt;=Setup!$B$14,"Yes","BELOW MIN"))</f>
        <v/>
      </c>
      <c r="L17" s="9">
        <f>$A17&amp;"|"&amp;$C17</f>
        <v/>
      </c>
    </row>
    <row r="18">
      <c r="A18" s="15" t="inlineStr">
        <is>
          <t>Postcards (unmailed)</t>
        </is>
      </c>
      <c r="B18" s="15" t="inlineStr">
        <is>
          <t>5" x 7", 16pt</t>
        </is>
      </c>
      <c r="C18" s="16" t="n">
        <v>1000</v>
      </c>
      <c r="D18" s="6" t="n"/>
      <c r="E18" s="17">
        <f>IF($D18="","",$D18/$C18)</f>
        <v/>
      </c>
      <c r="F18" s="18">
        <f>IF($D18="","",IFERROR($D18/(1-Setup!$B$12),""))</f>
        <v/>
      </c>
      <c r="G18" s="19">
        <f>IF($F18="","",CEILING($F18,Setup!$B$13))</f>
        <v/>
      </c>
      <c r="H18" s="18">
        <f>IF($G18="","",$G18-$D18)</f>
        <v/>
      </c>
      <c r="I18" s="20">
        <f>IF($G18="","",IFERROR($H18/$G18,""))</f>
        <v/>
      </c>
      <c r="J18" s="17">
        <f>IF($G18="","",$G18/$C18)</f>
        <v/>
      </c>
      <c r="K18" s="15">
        <f>IF($G18="","",IF($G18&gt;=Setup!$B$14,"Yes","BELOW MIN"))</f>
        <v/>
      </c>
      <c r="L18" s="15">
        <f>$A18&amp;"|"&amp;$C18</f>
        <v/>
      </c>
    </row>
    <row r="19">
      <c r="A19" s="9" t="inlineStr">
        <is>
          <t>Magnets (business card)</t>
        </is>
      </c>
      <c r="B19" s="9" t="inlineStr">
        <is>
          <t>3.5" x 2", 20mil</t>
        </is>
      </c>
      <c r="C19" s="10" t="n">
        <v>100</v>
      </c>
      <c r="D19" s="6" t="n"/>
      <c r="E19" s="11">
        <f>IF($D19="","",$D19/$C19)</f>
        <v/>
      </c>
      <c r="F19" s="12">
        <f>IF($D19="","",IFERROR($D19/(1-Setup!$B$12),""))</f>
        <v/>
      </c>
      <c r="G19" s="13">
        <f>IF($F19="","",CEILING($F19,Setup!$B$13))</f>
        <v/>
      </c>
      <c r="H19" s="12">
        <f>IF($G19="","",$G19-$D19)</f>
        <v/>
      </c>
      <c r="I19" s="14">
        <f>IF($G19="","",IFERROR($H19/$G19,""))</f>
        <v/>
      </c>
      <c r="J19" s="11">
        <f>IF($G19="","",$G19/$C19)</f>
        <v/>
      </c>
      <c r="K19" s="9">
        <f>IF($G19="","",IF($G19&gt;=Setup!$B$14,"Yes","BELOW MIN"))</f>
        <v/>
      </c>
      <c r="L19" s="9">
        <f>$A19&amp;"|"&amp;$C19</f>
        <v/>
      </c>
    </row>
    <row r="20">
      <c r="A20" s="15" t="inlineStr">
        <is>
          <t>Magnets (business card)</t>
        </is>
      </c>
      <c r="B20" s="15" t="inlineStr">
        <is>
          <t>3.5" x 2", 20mil</t>
        </is>
      </c>
      <c r="C20" s="16" t="n">
        <v>250</v>
      </c>
      <c r="D20" s="6" t="n"/>
      <c r="E20" s="17">
        <f>IF($D20="","",$D20/$C20)</f>
        <v/>
      </c>
      <c r="F20" s="18">
        <f>IF($D20="","",IFERROR($D20/(1-Setup!$B$12),""))</f>
        <v/>
      </c>
      <c r="G20" s="19">
        <f>IF($F20="","",CEILING($F20,Setup!$B$13))</f>
        <v/>
      </c>
      <c r="H20" s="18">
        <f>IF($G20="","",$G20-$D20)</f>
        <v/>
      </c>
      <c r="I20" s="20">
        <f>IF($G20="","",IFERROR($H20/$G20,""))</f>
        <v/>
      </c>
      <c r="J20" s="17">
        <f>IF($G20="","",$G20/$C20)</f>
        <v/>
      </c>
      <c r="K20" s="15">
        <f>IF($G20="","",IF($G20&gt;=Setup!$B$14,"Yes","BELOW MIN"))</f>
        <v/>
      </c>
      <c r="L20" s="15">
        <f>$A20&amp;"|"&amp;$C20</f>
        <v/>
      </c>
    </row>
    <row r="21">
      <c r="A21" s="9" t="inlineStr">
        <is>
          <t>Magnets (business card)</t>
        </is>
      </c>
      <c r="B21" s="9" t="inlineStr">
        <is>
          <t>3.5" x 2", 20mil</t>
        </is>
      </c>
      <c r="C21" s="10" t="n">
        <v>500</v>
      </c>
      <c r="D21" s="6" t="n"/>
      <c r="E21" s="11">
        <f>IF($D21="","",$D21/$C21)</f>
        <v/>
      </c>
      <c r="F21" s="12">
        <f>IF($D21="","",IFERROR($D21/(1-Setup!$B$12),""))</f>
        <v/>
      </c>
      <c r="G21" s="13">
        <f>IF($F21="","",CEILING($F21,Setup!$B$13))</f>
        <v/>
      </c>
      <c r="H21" s="12">
        <f>IF($G21="","",$G21-$D21)</f>
        <v/>
      </c>
      <c r="I21" s="14">
        <f>IF($G21="","",IFERROR($H21/$G21,""))</f>
        <v/>
      </c>
      <c r="J21" s="11">
        <f>IF($G21="","",$G21/$C21)</f>
        <v/>
      </c>
      <c r="K21" s="9">
        <f>IF($G21="","",IF($G21&gt;=Setup!$B$14,"Yes","BELOW MIN"))</f>
        <v/>
      </c>
      <c r="L21" s="9">
        <f>$A21&amp;"|"&amp;$C21</f>
        <v/>
      </c>
    </row>
    <row r="22">
      <c r="A22" s="15" t="inlineStr">
        <is>
          <t>Magnets (business card)</t>
        </is>
      </c>
      <c r="B22" s="15" t="inlineStr">
        <is>
          <t>3.5" x 2", 20mil</t>
        </is>
      </c>
      <c r="C22" s="16" t="n">
        <v>1000</v>
      </c>
      <c r="D22" s="6" t="n"/>
      <c r="E22" s="17">
        <f>IF($D22="","",$D22/$C22)</f>
        <v/>
      </c>
      <c r="F22" s="18">
        <f>IF($D22="","",IFERROR($D22/(1-Setup!$B$12),""))</f>
        <v/>
      </c>
      <c r="G22" s="19">
        <f>IF($F22="","",CEILING($F22,Setup!$B$13))</f>
        <v/>
      </c>
      <c r="H22" s="18">
        <f>IF($G22="","",$G22-$D22)</f>
        <v/>
      </c>
      <c r="I22" s="20">
        <f>IF($G22="","",IFERROR($H22/$G22,""))</f>
        <v/>
      </c>
      <c r="J22" s="17">
        <f>IF($G22="","",$G22/$C22)</f>
        <v/>
      </c>
      <c r="K22" s="15">
        <f>IF($G22="","",IF($G22&gt;=Setup!$B$14,"Yes","BELOW MIN"))</f>
        <v/>
      </c>
      <c r="L22" s="15">
        <f>$A22&amp;"|"&amp;$C22</f>
        <v/>
      </c>
    </row>
    <row r="23">
      <c r="A23" s="9" t="inlineStr">
        <is>
          <t>Brochures (tri-fold)</t>
        </is>
      </c>
      <c r="B23" s="9" t="inlineStr">
        <is>
          <t>8.5" x 11" folded, 100lb</t>
        </is>
      </c>
      <c r="C23" s="10" t="n">
        <v>250</v>
      </c>
      <c r="D23" s="6" t="n"/>
      <c r="E23" s="11">
        <f>IF($D23="","",$D23/$C23)</f>
        <v/>
      </c>
      <c r="F23" s="12">
        <f>IF($D23="","",IFERROR($D23/(1-Setup!$B$12),""))</f>
        <v/>
      </c>
      <c r="G23" s="13">
        <f>IF($F23="","",CEILING($F23,Setup!$B$13))</f>
        <v/>
      </c>
      <c r="H23" s="12">
        <f>IF($G23="","",$G23-$D23)</f>
        <v/>
      </c>
      <c r="I23" s="14">
        <f>IF($G23="","",IFERROR($H23/$G23,""))</f>
        <v/>
      </c>
      <c r="J23" s="11">
        <f>IF($G23="","",$G23/$C23)</f>
        <v/>
      </c>
      <c r="K23" s="9">
        <f>IF($G23="","",IF($G23&gt;=Setup!$B$14,"Yes","BELOW MIN"))</f>
        <v/>
      </c>
      <c r="L23" s="9">
        <f>$A23&amp;"|"&amp;$C23</f>
        <v/>
      </c>
    </row>
    <row r="24">
      <c r="A24" s="15" t="inlineStr">
        <is>
          <t>Brochures (tri-fold)</t>
        </is>
      </c>
      <c r="B24" s="15" t="inlineStr">
        <is>
          <t>8.5" x 11" folded, 100lb</t>
        </is>
      </c>
      <c r="C24" s="16" t="n">
        <v>500</v>
      </c>
      <c r="D24" s="6" t="n"/>
      <c r="E24" s="17">
        <f>IF($D24="","",$D24/$C24)</f>
        <v/>
      </c>
      <c r="F24" s="18">
        <f>IF($D24="","",IFERROR($D24/(1-Setup!$B$12),""))</f>
        <v/>
      </c>
      <c r="G24" s="19">
        <f>IF($F24="","",CEILING($F24,Setup!$B$13))</f>
        <v/>
      </c>
      <c r="H24" s="18">
        <f>IF($G24="","",$G24-$D24)</f>
        <v/>
      </c>
      <c r="I24" s="20">
        <f>IF($G24="","",IFERROR($H24/$G24,""))</f>
        <v/>
      </c>
      <c r="J24" s="17">
        <f>IF($G24="","",$G24/$C24)</f>
        <v/>
      </c>
      <c r="K24" s="15">
        <f>IF($G24="","",IF($G24&gt;=Setup!$B$14,"Yes","BELOW MIN"))</f>
        <v/>
      </c>
      <c r="L24" s="15">
        <f>$A24&amp;"|"&amp;$C24</f>
        <v/>
      </c>
    </row>
    <row r="25">
      <c r="A25" s="9" t="inlineStr">
        <is>
          <t>Brochures (tri-fold)</t>
        </is>
      </c>
      <c r="B25" s="9" t="inlineStr">
        <is>
          <t>8.5" x 11" folded, 100lb</t>
        </is>
      </c>
      <c r="C25" s="10" t="n">
        <v>1000</v>
      </c>
      <c r="D25" s="6" t="n"/>
      <c r="E25" s="11">
        <f>IF($D25="","",$D25/$C25)</f>
        <v/>
      </c>
      <c r="F25" s="12">
        <f>IF($D25="","",IFERROR($D25/(1-Setup!$B$12),""))</f>
        <v/>
      </c>
      <c r="G25" s="13">
        <f>IF($F25="","",CEILING($F25,Setup!$B$13))</f>
        <v/>
      </c>
      <c r="H25" s="12">
        <f>IF($G25="","",$G25-$D25)</f>
        <v/>
      </c>
      <c r="I25" s="14">
        <f>IF($G25="","",IFERROR($H25/$G25,""))</f>
        <v/>
      </c>
      <c r="J25" s="11">
        <f>IF($G25="","",$G25/$C25)</f>
        <v/>
      </c>
      <c r="K25" s="9">
        <f>IF($G25="","",IF($G25&gt;=Setup!$B$14,"Yes","BELOW MIN"))</f>
        <v/>
      </c>
      <c r="L25" s="9">
        <f>$A25&amp;"|"&amp;$C25</f>
        <v/>
      </c>
    </row>
    <row r="26">
      <c r="A26" s="15" t="inlineStr">
        <is>
          <t>Magnets (vehicle)</t>
        </is>
      </c>
      <c r="B26" s="15" t="inlineStr">
        <is>
          <t>12" x 18", pair</t>
        </is>
      </c>
      <c r="C26" s="16" t="n">
        <v>1</v>
      </c>
      <c r="D26" s="6" t="n"/>
      <c r="E26" s="17">
        <f>IF($D26="","",$D26/$C26)</f>
        <v/>
      </c>
      <c r="F26" s="18">
        <f>IF($D26="","",IFERROR($D26/(1-Setup!$B$12),""))</f>
        <v/>
      </c>
      <c r="G26" s="19">
        <f>IF($F26="","",CEILING($F26,Setup!$B$13))</f>
        <v/>
      </c>
      <c r="H26" s="18">
        <f>IF($G26="","",$G26-$D26)</f>
        <v/>
      </c>
      <c r="I26" s="20">
        <f>IF($G26="","",IFERROR($H26/$G26,""))</f>
        <v/>
      </c>
      <c r="J26" s="17">
        <f>IF($G26="","",$G26/$C26)</f>
        <v/>
      </c>
      <c r="K26" s="15">
        <f>IF($G26="","",IF($G26&gt;=Setup!$B$14,"Yes","BELOW MIN"))</f>
        <v/>
      </c>
      <c r="L26" s="15">
        <f>$A26&amp;"|"&amp;$C26</f>
        <v/>
      </c>
    </row>
    <row r="27">
      <c r="A27" s="9" t="inlineStr">
        <is>
          <t>Magnets (vehicle)</t>
        </is>
      </c>
      <c r="B27" s="9" t="inlineStr">
        <is>
          <t>18" x 24", pair</t>
        </is>
      </c>
      <c r="C27" s="10" t="n">
        <v>1</v>
      </c>
      <c r="D27" s="6" t="n"/>
      <c r="E27" s="11">
        <f>IF($D27="","",$D27/$C27)</f>
        <v/>
      </c>
      <c r="F27" s="12">
        <f>IF($D27="","",IFERROR($D27/(1-Setup!$B$12),""))</f>
        <v/>
      </c>
      <c r="G27" s="13">
        <f>IF($F27="","",CEILING($F27,Setup!$B$13))</f>
        <v/>
      </c>
      <c r="H27" s="12">
        <f>IF($G27="","",$G27-$D27)</f>
        <v/>
      </c>
      <c r="I27" s="14">
        <f>IF($G27="","",IFERROR($H27/$G27,""))</f>
        <v/>
      </c>
      <c r="J27" s="11">
        <f>IF($G27="","",$G27/$C27)</f>
        <v/>
      </c>
      <c r="K27" s="9">
        <f>IF($G27="","",IF($G27&gt;=Setup!$B$14,"Yes","BELOW MIN"))</f>
        <v/>
      </c>
      <c r="L27" s="9">
        <f>$A27&amp;"|"&amp;$C27</f>
        <v/>
      </c>
    </row>
    <row r="29">
      <c r="A29" s="2" t="inlineStr">
        <is>
          <t>Wholesale costs are yours to supply — none are filled in except the example in D5. Specs are placeholders; change them to match what your printer actually quotes.</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38" customWidth="1" min="1" max="1"/>
    <col width="12" customWidth="1" min="2" max="2"/>
    <col width="12" customWidth="1" min="3" max="3"/>
    <col width="60" customWidth="1" min="4" max="4"/>
  </cols>
  <sheetData>
    <row r="1">
      <c r="A1" s="1" t="inlineStr">
        <is>
          <t>Design Fees</t>
        </is>
      </c>
    </row>
    <row r="2">
      <c r="A2" s="2" t="inlineStr">
        <is>
          <t>Print is cheap; design is not. Anything that is genuinely new artwork gets billed here rather than absorbed.</t>
        </is>
      </c>
    </row>
    <row r="4">
      <c r="A4" s="21" t="inlineStr">
        <is>
          <t>Item</t>
        </is>
      </c>
      <c r="B4" s="21" t="inlineStr">
        <is>
          <t>Basis</t>
        </is>
      </c>
      <c r="C4" s="21" t="inlineStr">
        <is>
          <t>Rate</t>
        </is>
      </c>
      <c r="D4" s="21" t="inlineStr">
        <is>
          <t>Notes</t>
        </is>
      </c>
    </row>
    <row r="5">
      <c r="A5" s="9" t="inlineStr">
        <is>
          <t>Postcard ad layout (mailing customers)</t>
        </is>
      </c>
      <c r="B5" s="9" t="inlineStr">
        <is>
          <t>Included</t>
        </is>
      </c>
      <c r="C5" s="6" t="n">
        <v>0</v>
      </c>
      <c r="D5" s="9" t="inlineStr">
        <is>
          <t>Already part of a mailing. Do not start charging for this.</t>
        </is>
      </c>
    </row>
    <row r="6">
      <c r="A6" s="9" t="inlineStr">
        <is>
          <t>Reusing existing artwork on another product</t>
        </is>
      </c>
      <c r="B6" s="9" t="inlineStr">
        <is>
          <t>Included</t>
        </is>
      </c>
      <c r="C6" s="6" t="n">
        <v>0</v>
      </c>
      <c r="D6" s="9" t="inlineStr">
        <is>
          <t>Business cards or flyers from a design you already made. This is the whole advantage.</t>
        </is>
      </c>
    </row>
    <row r="7">
      <c r="A7" s="9" t="inlineStr">
        <is>
          <t>New artwork from an existing brand</t>
        </is>
      </c>
      <c r="B7" s="9" t="inlineStr">
        <is>
          <t>Flat</t>
        </is>
      </c>
      <c r="C7" s="6" t="n">
        <v>150</v>
      </c>
      <c r="D7" s="9" t="inlineStr">
        <is>
          <t>Logo and colours exist; the layout does not.</t>
        </is>
      </c>
    </row>
    <row r="8">
      <c r="A8" s="9" t="inlineStr">
        <is>
          <t>Brand-new design, no assets</t>
        </is>
      </c>
      <c r="B8" s="9" t="inlineStr">
        <is>
          <t>Hourly</t>
        </is>
      </c>
      <c r="C8" s="12">
        <f>Setup!$B$16</f>
        <v/>
      </c>
      <c r="D8" s="9" t="inlineStr">
        <is>
          <t>Uses the Setup hourly rate. Estimate hours before quoting.</t>
        </is>
      </c>
    </row>
    <row r="9">
      <c r="A9" s="9" t="inlineStr">
        <is>
          <t>Brochure layout (tri-fold, 6 panels)</t>
        </is>
      </c>
      <c r="B9" s="9" t="inlineStr">
        <is>
          <t>Flat</t>
        </is>
      </c>
      <c r="C9" s="6" t="n">
        <v>350</v>
      </c>
      <c r="D9" s="9" t="inlineStr">
        <is>
          <t>The one that runs over. Quote separately, always.</t>
        </is>
      </c>
    </row>
    <row r="10">
      <c r="A10" s="9" t="inlineStr">
        <is>
          <t>Vehicle magnet artwork</t>
        </is>
      </c>
      <c r="B10" s="9" t="inlineStr">
        <is>
          <t>Flat</t>
        </is>
      </c>
      <c r="C10" s="6" t="n">
        <v>125</v>
      </c>
      <c r="D10" s="9" t="inlineStr">
        <is>
          <t>Must be rebuilt for legibility at distance, not scaled down.</t>
        </is>
      </c>
    </row>
    <row r="11">
      <c r="A11" s="9" t="inlineStr">
        <is>
          <t>Copywriting</t>
        </is>
      </c>
      <c r="B11" s="9" t="inlineStr">
        <is>
          <t>Hourly</t>
        </is>
      </c>
      <c r="C11" s="12">
        <f>Setup!$B$16</f>
        <v/>
      </c>
      <c r="D11" s="9" t="inlineStr">
        <is>
          <t>When the customer cannot supply wording. Common on flyers and brochures.</t>
        </is>
      </c>
    </row>
    <row r="12">
      <c r="A12" s="9" t="inlineStr">
        <is>
          <t>Extra revision round</t>
        </is>
      </c>
      <c r="B12" s="9" t="inlineStr">
        <is>
          <t>Flat</t>
        </is>
      </c>
      <c r="C12" s="6" t="n">
        <v>45</v>
      </c>
      <c r="D12" s="9" t="inlineStr">
        <is>
          <t>Beyond the rounds included in the proof terms.</t>
        </is>
      </c>
    </row>
    <row r="13">
      <c r="A13" s="9" t="inlineStr">
        <is>
          <t>Rush handling</t>
        </is>
      </c>
      <c r="B13" s="9" t="inlineStr">
        <is>
          <t>Uplift</t>
        </is>
      </c>
      <c r="C13" s="14">
        <f>Setup!$B$15</f>
        <v/>
      </c>
      <c r="D13" s="9" t="inlineStr">
        <is>
          <t>Setup rush uplift applied to the whole job, not just design.</t>
        </is>
      </c>
    </row>
    <row r="15">
      <c r="A15" s="2" t="inlineStr">
        <is>
          <t>Flat rates are placeholders. They are set to be defensible rather than researched — replace them once you know how long each job really takes.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4" customWidth="1" min="1" max="1"/>
    <col width="46" customWidth="1" min="2" max="2"/>
  </cols>
  <sheetData>
    <row r="1">
      <c r="A1" s="1" t="inlineStr">
        <is>
          <t>Quote Builder</t>
        </is>
      </c>
    </row>
    <row r="2">
      <c r="A2" s="2" t="inlineStr">
        <is>
          <t>Type a product and quantity exactly as they appear on the Rate Sheet.</t>
        </is>
      </c>
    </row>
    <row r="4">
      <c r="A4" s="3" t="inlineStr">
        <is>
          <t>Product</t>
        </is>
      </c>
      <c r="B4" s="22" t="inlineStr">
        <is>
          <t>Business cards</t>
        </is>
      </c>
    </row>
    <row r="5">
      <c r="A5" s="3" t="inlineStr">
        <is>
          <t>Quantity</t>
        </is>
      </c>
      <c r="B5" s="23" t="n">
        <v>250</v>
      </c>
    </row>
    <row r="7">
      <c r="A7" s="3" t="inlineStr">
        <is>
          <t>Print price</t>
        </is>
      </c>
      <c r="B7" s="13">
        <f>IFERROR(INDEX('Rate Sheet'!$G$5:$G$27,MATCH($B$4&amp;"|"&amp;$B$5,'Rate Sheet'!$L$5:$L$27,0)),"Not on the rate sheet")</f>
        <v/>
      </c>
    </row>
    <row r="8">
      <c r="A8" s="3" t="inlineStr">
        <is>
          <t>Design fee (if any)</t>
        </is>
      </c>
      <c r="B8" s="6" t="n">
        <v>0</v>
      </c>
    </row>
    <row r="9">
      <c r="A9" s="3" t="inlineStr">
        <is>
          <t>Rush?</t>
        </is>
      </c>
      <c r="B9" s="22" t="inlineStr">
        <is>
          <t>No</t>
        </is>
      </c>
    </row>
    <row r="11">
      <c r="A11" s="3" t="inlineStr">
        <is>
          <t>QUOTE TOTAL</t>
        </is>
      </c>
      <c r="B11" s="24">
        <f>IF(ISNUMBER($B$7),($B$7+$B$8)*IF($B$9="Yes",1+Setup!$B$15,1),"Check the product and quantity")</f>
        <v/>
      </c>
    </row>
    <row r="13">
      <c r="A13" s="4" t="inlineStr">
        <is>
          <t>Above minimum?</t>
        </is>
      </c>
      <c r="B13" s="4">
        <f>IF(ISNUMBER($B$11),IF($B$11&gt;=Setup!$B$14,"Yes","Below minimum — roll into their next mailing invoice"),"")</f>
        <v/>
      </c>
    </row>
    <row r="15">
      <c r="A15" s="2" t="inlineStr">
        <is>
          <t>Rush applies the Setup uplift to the whole job. Design fees come from the Design Fees tab — enter the one that applies.</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2026-08-13T12:55:42Z</dcterms:created>
  <dcterms:modified xsi:type="dcterms:W3CDTF">2026-08-13T12:55:42Z</dcterms:modified>
</cp:coreProperties>
</file>